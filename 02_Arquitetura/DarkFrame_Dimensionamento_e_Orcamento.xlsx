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e8e1e1ceb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os" sheetId="1" r:id="Rb40fad8a26b34629"/>
    <x:sheet xmlns:r="http://schemas.openxmlformats.org/officeDocument/2006/relationships" name="Perfis" sheetId="2" r:id="R2594801f853648b5"/>
    <x:sheet xmlns:r="http://schemas.openxmlformats.org/officeDocument/2006/relationships" name="Investimento" sheetId="3" r:id="Rc63fca1191f243d4"/>
    <x:sheet xmlns:r="http://schemas.openxmlformats.org/officeDocument/2006/relationships" name="Plano IPv4" sheetId="4" r:id="R3778f513dae9499f"/>
    <x:sheet xmlns:r="http://schemas.openxmlformats.org/officeDocument/2006/relationships" name="Serviços VMs" sheetId="5" r:id="Rf5ab172cecdc4ce2"/>
    <x:sheet xmlns:r="http://schemas.openxmlformats.org/officeDocument/2006/relationships" name="Aceite" sheetId="6" r:id="Rfc156e7463f8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34f5ed7364887" /><Relationship Type="http://schemas.openxmlformats.org/officeDocument/2006/relationships/theme" Target="/xl/theme/theme1.xml" Id="R27b035b3cec54eb9" /><Relationship Type="http://schemas.openxmlformats.org/officeDocument/2006/relationships/sharedStrings" Target="/xl/sharedStrings.xml" Id="R30f3736811fd4dfc" /><Relationship Type="http://schemas.openxmlformats.org/officeDocument/2006/relationships/worksheet" Target="/xl/worksheets/sheet1.xml" Id="Rb40fad8a26b34629" /><Relationship Type="http://schemas.openxmlformats.org/officeDocument/2006/relationships/worksheet" Target="/xl/worksheets/sheet2.xml" Id="R2594801f853648b5" /><Relationship Type="http://schemas.openxmlformats.org/officeDocument/2006/relationships/worksheet" Target="/xl/worksheets/sheet3.xml" Id="Rc63fca1191f243d4" /><Relationship Type="http://schemas.openxmlformats.org/officeDocument/2006/relationships/worksheet" Target="/xl/worksheets/sheet4.xml" Id="R3778f513dae9499f" /><Relationship Type="http://schemas.openxmlformats.org/officeDocument/2006/relationships/worksheet" Target="/xl/worksheets/sheet5.xml" Id="Rf5ab172cecdc4ce2" /><Relationship Type="http://schemas.openxmlformats.org/officeDocument/2006/relationships/worksheet" Target="/xl/worksheets/sheet6.xml" Id="Rfc156e7463f8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7" hidden="0" customWidth="1"/>
    <x:col min="4" max="4" width="16" hidden="0" customWidth="1"/>
    <x:col min="5" max="5" width="28" hidden="0" customWidth="1"/>
  </x:cols>
  <x:sheetData>
    <x:row r="1" ht="30" customHeight="1">
      <x:c r="A1" s="6" t="str">
        <x:v>Andar</x:v>
      </x:c>
      <x:c r="B1" s="6" t="str">
        <x:v>Setor</x:v>
      </x:c>
      <x:c r="C1" s="6" t="str">
        <x:v>Funcionários</x:v>
      </x:c>
      <x:c r="D1" s="6" t="str">
        <x:v>Perfil</x:v>
      </x:c>
      <x:c r="E1" s="6" t="str">
        <x:v>Descrição</x:v>
      </x:c>
    </x:row>
    <x:row r="2">
      <x:c r="A2" t="n">
        <x:v>1</x:v>
      </x:c>
      <x:c r="B2" t="str">
        <x:v>Recepção</x:v>
      </x:c>
      <x:c r="C2" t="n">
        <x:v>2</x:v>
      </x:c>
      <x:c r="D2" t="str">
        <x:v>ADM</x:v>
      </x:c>
      <x:c r="E2" t="str">
        <x:v>Operação/administrativo</x:v>
      </x:c>
    </x:row>
    <x:row r="3">
      <x:c r="A3" t="n">
        <x:v>1</x:v>
      </x:c>
      <x:c r="B3" t="str">
        <x:v>Publicação</x:v>
      </x:c>
      <x:c r="C3" t="n">
        <x:v>8</x:v>
      </x:c>
      <x:c r="D3" t="str">
        <x:v>OP</x:v>
      </x:c>
      <x:c r="E3" t="str">
        <x:v>Operação/administrativo</x:v>
      </x:c>
    </x:row>
    <x:row r="4">
      <x:c r="A4" t="n">
        <x:v>1</x:v>
      </x:c>
      <x:c r="B4" t="str">
        <x:v>Suporte aos canais</x:v>
      </x:c>
      <x:c r="C4" t="n">
        <x:v>2</x:v>
      </x:c>
      <x:c r="D4" t="str">
        <x:v>OP</x:v>
      </x:c>
      <x:c r="E4" t="str">
        <x:v>Operação/administrativo</x:v>
      </x:c>
    </x:row>
    <x:row r="5">
      <x:c r="A5" t="n">
        <x:v>2</x:v>
      </x:c>
      <x:c r="B5" t="str">
        <x:v>Roteirização</x:v>
      </x:c>
      <x:c r="C5" t="n">
        <x:v>8</x:v>
      </x:c>
      <x:c r="D5" t="str">
        <x:v>OP</x:v>
      </x:c>
      <x:c r="E5" t="str">
        <x:v>Operação/administrativo</x:v>
      </x:c>
    </x:row>
    <x:row r="6">
      <x:c r="A6" t="n">
        <x:v>2</x:v>
      </x:c>
      <x:c r="B6" t="str">
        <x:v>Pesquisa e análise</x:v>
      </x:c>
      <x:c r="C6" t="n">
        <x:v>6</x:v>
      </x:c>
      <x:c r="D6" t="str">
        <x:v>OP</x:v>
      </x:c>
      <x:c r="E6" t="str">
        <x:v>Operação/administrativo</x:v>
      </x:c>
    </x:row>
    <x:row r="7">
      <x:c r="A7" t="n">
        <x:v>3</x:v>
      </x:c>
      <x:c r="B7" t="str">
        <x:v>Edição de vídeo</x:v>
      </x:c>
      <x:c r="C7" t="n">
        <x:v>10</x:v>
      </x:c>
      <x:c r="D7" t="str">
        <x:v>ESP</x:v>
      </x:c>
      <x:c r="E7" t="str">
        <x:v>Produção criativa</x:v>
      </x:c>
    </x:row>
    <x:row r="8">
      <x:c r="A8" t="n">
        <x:v>3</x:v>
      </x:c>
      <x:c r="B8" t="str">
        <x:v>Design</x:v>
      </x:c>
      <x:c r="C8" t="n">
        <x:v>4</x:v>
      </x:c>
      <x:c r="D8" t="str">
        <x:v>ESP</x:v>
      </x:c>
      <x:c r="E8" t="str">
        <x:v>Produção criativa</x:v>
      </x:c>
    </x:row>
    <x:row r="9">
      <x:c r="A9" t="n">
        <x:v>3</x:v>
      </x:c>
      <x:c r="B9" t="str">
        <x:v>Áudio</x:v>
      </x:c>
      <x:c r="C9" t="n">
        <x:v>2</x:v>
      </x:c>
      <x:c r="D9" t="str">
        <x:v>ESP</x:v>
      </x:c>
      <x:c r="E9" t="str">
        <x:v>Produção criativa</x:v>
      </x:c>
    </x:row>
    <x:row r="10">
      <x:c r="A10" t="n">
        <x:v>4</x:v>
      </x:c>
      <x:c r="B10" t="str">
        <x:v>TI</x:v>
      </x:c>
      <x:c r="C10" t="n">
        <x:v>4</x:v>
      </x:c>
      <x:c r="D10" t="str">
        <x:v>OP</x:v>
      </x:c>
      <x:c r="E10" t="str">
        <x:v>Operação/administrativo</x:v>
      </x:c>
    </x:row>
    <x:row r="11">
      <x:c r="A11" t="n">
        <x:v>4</x:v>
      </x:c>
      <x:c r="B11" t="str">
        <x:v>Financeiro</x:v>
      </x:c>
      <x:c r="C11" t="n">
        <x:v>2</x:v>
      </x:c>
      <x:c r="D11" t="str">
        <x:v>ADM</x:v>
      </x:c>
      <x:c r="E11" t="str">
        <x:v>Operação/administrativo</x:v>
      </x:c>
    </x:row>
    <x:row r="12">
      <x:c r="A12" t="n">
        <x:v>4</x:v>
      </x:c>
      <x:c r="B12" t="str">
        <x:v>RH</x:v>
      </x:c>
      <x:c r="C12" t="n">
        <x:v>1</x:v>
      </x:c>
      <x:c r="D12" t="str">
        <x:v>ADM</x:v>
      </x:c>
      <x:c r="E12" t="str">
        <x:v>Operação/administrativo</x:v>
      </x:c>
    </x:row>
    <x:row r="13">
      <x:c r="A13" t="n">
        <x:v>4</x:v>
      </x:c>
      <x:c r="B13" t="str">
        <x:v>Diretoria</x:v>
      </x:c>
      <x:c r="C13" t="n">
        <x:v>1</x:v>
      </x:c>
      <x:c r="D13" t="str">
        <x:v>ADM</x:v>
      </x:c>
      <x:c r="E13" t="str">
        <x:v>Operação/administrativo</x:v>
      </x:c>
    </x:row>
    <x:row r="14">
      <x:c r="C14" t="n">
        <x:f>SUM(C2:C13)</x:f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23" hidden="0" customWidth="1"/>
    <x:col min="5" max="5" width="13" hidden="0" customWidth="1"/>
    <x:col min="6" max="6" width="15" hidden="0" customWidth="1"/>
    <x:col min="7" max="7" width="25" hidden="0" customWidth="1"/>
    <x:col min="8" max="8" width="20" hidden="0" customWidth="1"/>
  </x:cols>
  <x:sheetData>
    <x:row r="1" ht="30" customHeight="1">
      <x:c r="A1" s="6" t="str">
        <x:v>Perfil</x:v>
      </x:c>
      <x:c r="B1" s="6" t="str">
        <x:v>Quantidade</x:v>
      </x:c>
      <x:c r="C1" s="6" t="str">
        <x:v>CPU</x:v>
      </x:c>
      <x:c r="D1" s="6" t="str">
        <x:v>Plataforma</x:v>
      </x:c>
      <x:c r="E1" s="6" t="str">
        <x:v>RAM GB</x:v>
      </x:c>
      <x:c r="F1" s="6" t="str">
        <x:v>SSD GB</x:v>
      </x:c>
      <x:c r="G1" s="6" t="str">
        <x:v>GPU</x:v>
      </x:c>
      <x:c r="H1" s="6" t="str">
        <x:v>SO</x:v>
      </x:c>
    </x:row>
    <x:row r="2">
      <x:c r="A2" t="str">
        <x:v>ADM</x:v>
      </x:c>
      <x:c r="B2" t="n">
        <x:v>6</x:v>
      </x:c>
      <x:c r="C2" t="str">
        <x:v>Ryzen 5 5600G</x:v>
      </x:c>
      <x:c r="D2" t="str">
        <x:v>AM4 / B550 / DDR4</x:v>
      </x:c>
      <x:c r="E2" t="n">
        <x:v>16</x:v>
      </x:c>
      <x:c r="F2" t="n">
        <x:v>500</x:v>
      </x:c>
      <x:c r="G2" t="str">
        <x:v>Integrada</x:v>
      </x:c>
      <x:c r="H2" t="str">
        <x:v>Windows 11 Pro</x:v>
      </x:c>
    </x:row>
    <x:row r="3">
      <x:c r="A3" t="str">
        <x:v>OP</x:v>
      </x:c>
      <x:c r="B3" t="n">
        <x:v>28</x:v>
      </x:c>
      <x:c r="C3" t="str">
        <x:v>Ryzen 5 5600G</x:v>
      </x:c>
      <x:c r="D3" t="str">
        <x:v>AM4 / B550 / DDR4</x:v>
      </x:c>
      <x:c r="E3" t="n">
        <x:v>32</x:v>
      </x:c>
      <x:c r="F3" t="n">
        <x:v>1000</x:v>
      </x:c>
      <x:c r="G3" t="str">
        <x:v>Integrada</x:v>
      </x:c>
      <x:c r="H3" t="str">
        <x:v>Windows 11 Pro</x:v>
      </x:c>
    </x:row>
    <x:row r="4">
      <x:c r="A4" t="str">
        <x:v>ESP</x:v>
      </x:c>
      <x:c r="B4" t="n">
        <x:v>16</x:v>
      </x:c>
      <x:c r="C4" t="str">
        <x:v>Ryzen 7 7700</x:v>
      </x:c>
      <x:c r="D4" t="str">
        <x:v>AM5 / B650 / DDR5</x:v>
      </x:c>
      <x:c r="E4" t="n">
        <x:v>64</x:v>
      </x:c>
      <x:c r="F4" t="n">
        <x:v>2000</x:v>
      </x:c>
      <x:c r="G4" t="str">
        <x:v>RTX 4060 8GB</x:v>
      </x:c>
      <x:c r="H4" t="str">
        <x:v>Windows 11 Pro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5" hidden="0" customWidth="1"/>
    <x:col min="3" max="3" width="23" hidden="0" customWidth="1"/>
    <x:col min="4" max="4" width="25" hidden="0" customWidth="1"/>
    <x:col min="5" max="5" width="24" hidden="0" customWidth="1"/>
    <x:col min="6" max="6" width="17" hidden="0" customWidth="1"/>
  </x:cols>
  <x:sheetData>
    <x:row r="1" ht="30" customHeight="1">
      <x:c r="A1" s="6" t="str">
        <x:v>Categoria</x:v>
      </x:c>
      <x:c r="B1" s="6" t="str">
        <x:v>Quantidade</x:v>
      </x:c>
      <x:c r="C1" s="6" t="str">
        <x:v>Unitário estimado R$</x:v>
      </x:c>
      <x:c r="D1" s="6" t="str">
        <x:v>Subtotal estimado R$</x:v>
      </x:c>
      <x:c r="E1" s="6" t="str">
        <x:v>Origem</x:v>
      </x:c>
      <x:c r="F1" s="6" t="str">
        <x:v>Data</x:v>
      </x:c>
    </x:row>
    <x:row r="2">
      <x:c r="A2" t="str">
        <x:v>ADM: PC + monitor/periféricos</x:v>
      </x:c>
      <x:c r="B2" t="n">
        <x:v>6</x:v>
      </x:c>
      <x:c r="C2" s="8" t="n">
        <x:v>4600</x:v>
      </x:c>
      <x:c r="D2" s="8" t="n">
        <x:f>B2*C2</x:f>
        <x:v>27600</x:v>
      </x:c>
      <x:c r="E2" t="str">
        <x:v>estimativa interna</x:v>
      </x:c>
      <x:c r="F2" t="str">
        <x:v>2026-10-20</x:v>
      </x:c>
    </x:row>
    <x:row r="3">
      <x:c r="A3" t="str">
        <x:v>OP: PC + monitor/periféricos</x:v>
      </x:c>
      <x:c r="B3" t="n">
        <x:v>28</x:v>
      </x:c>
      <x:c r="C3" s="8" t="n">
        <x:v>6200</x:v>
      </x:c>
      <x:c r="D3" s="8" t="n">
        <x:f>B3*C3</x:f>
        <x:v>173600</x:v>
      </x:c>
      <x:c r="E3" t="str">
        <x:v>estimativa interna</x:v>
      </x:c>
      <x:c r="F3" t="str">
        <x:v>2026-10-20</x:v>
      </x:c>
    </x:row>
    <x:row r="4">
      <x:c r="A4" t="str">
        <x:v>ESP: workstation + monitor/periféricos</x:v>
      </x:c>
      <x:c r="B4" t="n">
        <x:v>16</x:v>
      </x:c>
      <x:c r="C4" s="8" t="n">
        <x:v>12800</x:v>
      </x:c>
      <x:c r="D4" s="8" t="n">
        <x:f>B4*C4</x:f>
        <x:v>204800</x:v>
      </x:c>
      <x:c r="E4" t="str">
        <x:v>estimativa interna</x:v>
      </x:c>
      <x:c r="F4" t="str">
        <x:v>2026-10-20</x:v>
      </x:c>
    </x:row>
    <x:row r="5">
      <x:c r="A5" t="str">
        <x:v>Host de virtualização + suporte</x:v>
      </x:c>
      <x:c r="B5" t="n">
        <x:v>1</x:v>
      </x:c>
      <x:c r="C5" s="8" t="n">
        <x:v>38000</x:v>
      </x:c>
      <x:c r="D5" s="8" t="n">
        <x:f>B5*C5</x:f>
        <x:v>38000</x:v>
      </x:c>
      <x:c r="E5" t="str">
        <x:v>estimativa interna</x:v>
      </x:c>
      <x:c r="F5" t="str">
        <x:v>2026-10-20</x:v>
      </x:c>
    </x:row>
    <x:row r="6">
      <x:c r="A6" t="str">
        <x:v>NAS principal 4 baias + 4 HDD 12TB</x:v>
      </x:c>
      <x:c r="B6" t="n">
        <x:v>1</x:v>
      </x:c>
      <x:c r="C6" s="8" t="n">
        <x:v>36000</x:v>
      </x:c>
      <x:c r="D6" s="8" t="n">
        <x:f>B6*C6</x:f>
        <x:v>36000</x:v>
      </x:c>
      <x:c r="E6" t="str">
        <x:v>estimativa interna</x:v>
      </x:c>
      <x:c r="F6" t="str">
        <x:v>2026-10-20</x:v>
      </x:c>
    </x:row>
    <x:row r="7">
      <x:c r="A7" t="str">
        <x:v>Dispositivo de backup independente</x:v>
      </x:c>
      <x:c r="B7" t="n">
        <x:v>1</x:v>
      </x:c>
      <x:c r="C7" s="8" t="n">
        <x:v>18000</x:v>
      </x:c>
      <x:c r="D7" s="8" t="n">
        <x:f>B7*C7</x:f>
        <x:v>18000</x:v>
      </x:c>
      <x:c r="E7" t="str">
        <x:v>estimativa interna</x:v>
      </x:c>
      <x:c r="F7" t="str">
        <x:v>2026-10-20</x:v>
      </x:c>
    </x:row>
    <x:row r="8">
      <x:c r="A8" t="str">
        <x:v>Firewall corporativo</x:v>
      </x:c>
      <x:c r="B8" t="n">
        <x:v>1</x:v>
      </x:c>
      <x:c r="C8" s="8" t="n">
        <x:v>11000</x:v>
      </x:c>
      <x:c r="D8" s="8" t="n">
        <x:f>B8*C8</x:f>
        <x:v>11000</x:v>
      </x:c>
      <x:c r="E8" t="str">
        <x:v>estimativa interna</x:v>
      </x:c>
      <x:c r="F8" t="str">
        <x:v>2026-10-20</x:v>
      </x:c>
    </x:row>
    <x:row r="9">
      <x:c r="A9" t="str">
        <x:v>Switch core L3</x:v>
      </x:c>
      <x:c r="B9" t="n">
        <x:v>1</x:v>
      </x:c>
      <x:c r="C9" s="8" t="n">
        <x:v>9500</x:v>
      </x:c>
      <x:c r="D9" s="8" t="n">
        <x:f>B9*C9</x:f>
        <x:v>9500</x:v>
      </x:c>
      <x:c r="E9" t="str">
        <x:v>estimativa interna</x:v>
      </x:c>
      <x:c r="F9" t="str">
        <x:v>2026-10-20</x:v>
      </x:c>
    </x:row>
    <x:row r="10">
      <x:c r="A10" t="str">
        <x:v>Switch acesso 48p PoE (pisos 1/2/3)</x:v>
      </x:c>
      <x:c r="B10" t="n">
        <x:v>3</x:v>
      </x:c>
      <x:c r="C10" s="8" t="n">
        <x:v>11500</x:v>
      </x:c>
      <x:c r="D10" s="8" t="n">
        <x:f>B10*C10</x:f>
        <x:v>34500</x:v>
      </x:c>
      <x:c r="E10" t="str">
        <x:v>estimativa interna</x:v>
      </x:c>
      <x:c r="F10" t="str">
        <x:v>2026-10-20</x:v>
      </x:c>
    </x:row>
    <x:row r="11">
      <x:c r="A11" t="str">
        <x:v>Switch acesso 24p PoE (piso 4)</x:v>
      </x:c>
      <x:c r="B11" t="n">
        <x:v>1</x:v>
      </x:c>
      <x:c r="C11" s="8" t="n">
        <x:v>7500</x:v>
      </x:c>
      <x:c r="D11" s="8" t="n">
        <x:f>B11*C11</x:f>
        <x:v>7500</x:v>
      </x:c>
      <x:c r="E11" t="str">
        <x:v>estimativa interna</x:v>
      </x:c>
      <x:c r="F11" t="str">
        <x:v>2026-10-20</x:v>
      </x:c>
    </x:row>
    <x:row r="12">
      <x:c r="A12" t="str">
        <x:v>AP Wi-Fi 6 PoE</x:v>
      </x:c>
      <x:c r="B12" t="n">
        <x:v>8</x:v>
      </x:c>
      <x:c r="C12" s="8" t="n">
        <x:v>1500</x:v>
      </x:c>
      <x:c r="D12" s="8" t="n">
        <x:f>B12*C12</x:f>
        <x:v>12000</x:v>
      </x:c>
      <x:c r="E12" t="str">
        <x:v>estimativa interna</x:v>
      </x:c>
      <x:c r="F12" t="str">
        <x:v>2026-10-20</x:v>
      </x:c>
    </x:row>
    <x:row r="13">
      <x:c r="A13" t="str">
        <x:v>Racks, patch panels e DIO</x:v>
      </x:c>
      <x:c r="B13" t="n">
        <x:v>1</x:v>
      </x:c>
      <x:c r="C13" s="8" t="n">
        <x:v>18500</x:v>
      </x:c>
      <x:c r="D13" s="8" t="n">
        <x:f>B13*C13</x:f>
        <x:v>18500</x:v>
      </x:c>
      <x:c r="E13" t="str">
        <x:v>estimativa interna</x:v>
      </x:c>
      <x:c r="F13" t="str">
        <x:v>2026-10-20</x:v>
      </x:c>
    </x:row>
    <x:row r="14">
      <x:c r="A14" t="str">
        <x:v>Cabo Cat6, fibra, tomadas, certificação</x:v>
      </x:c>
      <x:c r="B14" t="n">
        <x:v>1</x:v>
      </x:c>
      <x:c r="C14" s="8" t="n">
        <x:v>40000</x:v>
      </x:c>
      <x:c r="D14" s="8" t="n">
        <x:f>B14*C14</x:f>
        <x:v>40000</x:v>
      </x:c>
      <x:c r="E14" t="str">
        <x:v>estimativa interna</x:v>
      </x:c>
      <x:c r="F14" t="str">
        <x:v>2026-10-20</x:v>
      </x:c>
    </x:row>
    <x:row r="15">
      <x:c r="A15" t="str">
        <x:v>Nobreak rack online + PDU</x:v>
      </x:c>
      <x:c r="B15" t="n">
        <x:v>2</x:v>
      </x:c>
      <x:c r="C15" s="8" t="n">
        <x:v>12500</x:v>
      </x:c>
      <x:c r="D15" s="8" t="n">
        <x:f>B15*C15</x:f>
        <x:v>25000</x:v>
      </x:c>
      <x:c r="E15" t="str">
        <x:v>estimativa interna</x:v>
      </x:c>
      <x:c r="F15" t="str">
        <x:v>2026-10-20</x:v>
      </x:c>
    </x:row>
    <x:row r="16">
      <x:c r="A16" t="str">
        <x:v>Internet secundária/implantação inicial</x:v>
      </x:c>
      <x:c r="B16" t="n">
        <x:v>1</x:v>
      </x:c>
      <x:c r="C16" s="8" t="n">
        <x:v>6000</x:v>
      </x:c>
      <x:c r="D16" s="8" t="n">
        <x:f>B16*C16</x:f>
        <x:v>6000</x:v>
      </x:c>
      <x:c r="E16" t="str">
        <x:v>estimativa interna</x:v>
      </x:c>
      <x:c r="F16" t="str">
        <x:v>2026-10-20</x:v>
      </x:c>
    </x:row>
    <x:row r="17">
      <x:c r="A17" t="str">
        <x:v>TOTAL ESTIMADO</x:v>
      </x:c>
      <x:c r="C17" s="8"/>
      <x:c r="D17" s="8" t="n">
        <x:f>SUM(D2:D16)</x:f>
        <x:v>662000</x:v>
      </x:c>
    </x:row>
    <x:row r="18">
      <x:c r="A18" t="str">
        <x:v>CONTINGÊNCIA 10%</x:v>
      </x:c>
      <x:c r="C18" s="8"/>
      <x:c r="D18" s="8" t="n">
        <x:f>D17*0.1</x:f>
        <x:v>66200</x:v>
      </x:c>
    </x:row>
    <x:row r="19">
      <x:c r="A19" t="str">
        <x:v>CAPEX REFERENCIAL</x:v>
      </x:c>
      <x:c r="C19" s="8"/>
      <x:c r="D19" s="8" t="n">
        <x:f>D17+D18</x:f>
        <x:v>728200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24" hidden="0" customWidth="1"/>
    <x:col min="4" max="4" width="21" hidden="0" customWidth="1"/>
    <x:col min="5" max="5" width="37" hidden="0" customWidth="1"/>
    <x:col min="6" max="6" width="23" hidden="0" customWidth="1"/>
    <x:col min="7" max="7" width="17" hidden="0" customWidth="1"/>
  </x:cols>
  <x:sheetData>
    <x:row r="1" ht="30" customHeight="1">
      <x:c r="A1" s="6" t="str">
        <x:v>VLAN</x:v>
      </x:c>
      <x:c r="B1" s="6" t="str">
        <x:v>Nome</x:v>
      </x:c>
      <x:c r="C1" s="6" t="str">
        <x:v>Rede CIDR</x:v>
      </x:c>
      <x:c r="D1" s="6" t="str">
        <x:v>Gateway</x:v>
      </x:c>
      <x:c r="E1" s="6" t="str">
        <x:v>DHCP ou estático</x:v>
      </x:c>
      <x:c r="F1" s="6" t="str">
        <x:v>Broadcast</x:v>
      </x:c>
      <x:c r="G1" s="6" t="str">
        <x:v>Hosts úteis</x:v>
      </x:c>
    </x:row>
    <x:row r="2">
      <x:c r="A2" t="n">
        <x:v>10</x:v>
      </x:c>
      <x:c r="B2" t="str">
        <x:v>ADMIN</x:v>
      </x:c>
      <x:c r="C2" t="str">
        <x:v>10.50.10.0/27</x:v>
      </x:c>
      <x:c r="D2" t="str">
        <x:v>10.50.10.1</x:v>
      </x:c>
      <x:c r="E2" t="str">
        <x:v>10.50.10.10–10.50.10.25</x:v>
      </x:c>
      <x:c r="F2" t="str">
        <x:v>10.50.10.31</x:v>
      </x:c>
      <x:c r="G2" t="n">
        <x:v>30</x:v>
      </x:c>
    </x:row>
    <x:row r="3">
      <x:c r="A3" t="n">
        <x:v>20</x:v>
      </x:c>
      <x:c r="B3" t="str">
        <x:v>OPERACIONAL</x:v>
      </x:c>
      <x:c r="C3" t="str">
        <x:v>10.50.20.0/26</x:v>
      </x:c>
      <x:c r="D3" t="str">
        <x:v>10.50.20.1</x:v>
      </x:c>
      <x:c r="E3" t="str">
        <x:v>10.50.20.10–10.50.20.55</x:v>
      </x:c>
      <x:c r="F3" t="str">
        <x:v>10.50.20.63</x:v>
      </x:c>
      <x:c r="G3" t="n">
        <x:v>62</x:v>
      </x:c>
    </x:row>
    <x:row r="4">
      <x:c r="A4" t="n">
        <x:v>30</x:v>
      </x:c>
      <x:c r="B4" t="str">
        <x:v>CRIATIVO</x:v>
      </x:c>
      <x:c r="C4" t="str">
        <x:v>10.50.30.0/27</x:v>
      </x:c>
      <x:c r="D4" t="str">
        <x:v>10.50.30.1</x:v>
      </x:c>
      <x:c r="E4" t="str">
        <x:v>10.50.30.10–10.50.30.25</x:v>
      </x:c>
      <x:c r="F4" t="str">
        <x:v>10.50.30.31</x:v>
      </x:c>
      <x:c r="G4" t="n">
        <x:v>30</x:v>
      </x:c>
    </x:row>
    <x:row r="5">
      <x:c r="A5" t="n">
        <x:v>40</x:v>
      </x:c>
      <x:c r="B5" t="str">
        <x:v>TI</x:v>
      </x:c>
      <x:c r="C5" t="str">
        <x:v>10.50.40.0/27</x:v>
      </x:c>
      <x:c r="D5" t="str">
        <x:v>10.50.40.1</x:v>
      </x:c>
      <x:c r="E5" t="str">
        <x:v>10.50.40.10–10.50.40.24</x:v>
      </x:c>
      <x:c r="F5" t="str">
        <x:v>10.50.40.31</x:v>
      </x:c>
      <x:c r="G5" t="n">
        <x:v>30</x:v>
      </x:c>
    </x:row>
    <x:row r="6">
      <x:c r="A6" t="n">
        <x:v>50</x:v>
      </x:c>
      <x:c r="B6" t="str">
        <x:v>SERVIDORES</x:v>
      </x:c>
      <x:c r="C6" t="str">
        <x:v>10.50.50.0/27</x:v>
      </x:c>
      <x:c r="D6" t="str">
        <x:v>10.50.50.1</x:v>
      </x:c>
      <x:c r="E6" t="str">
        <x:v>estático .2–.25</x:v>
      </x:c>
      <x:c r="F6" t="str">
        <x:v>10.50.50.31</x:v>
      </x:c>
      <x:c r="G6" t="n">
        <x:v>30</x:v>
      </x:c>
    </x:row>
    <x:row r="7">
      <x:c r="A7" t="n">
        <x:v>60</x:v>
      </x:c>
      <x:c r="B7" t="str">
        <x:v>IOT</x:v>
      </x:c>
      <x:c r="C7" t="str">
        <x:v>10.50.60.0/27</x:v>
      </x:c>
      <x:c r="D7" t="str">
        <x:v>10.50.60.1</x:v>
      </x:c>
      <x:c r="E7" t="str">
        <x:v>estático/reserva .10–.25</x:v>
      </x:c>
      <x:c r="F7" t="str">
        <x:v>10.50.60.31</x:v>
      </x:c>
      <x:c r="G7" t="n">
        <x:v>30</x:v>
      </x:c>
    </x:row>
    <x:row r="8">
      <x:c r="A8" t="n">
        <x:v>70</x:v>
      </x:c>
      <x:c r="B8" t="str">
        <x:v>VISITANTES</x:v>
      </x:c>
      <x:c r="C8" t="str">
        <x:v>10.50.70.0/26</x:v>
      </x:c>
      <x:c r="D8" t="str">
        <x:v>10.50.70.1</x:v>
      </x:c>
      <x:c r="E8" t="str">
        <x:v>10.50.70.10–10.50.70.55</x:v>
      </x:c>
      <x:c r="F8" t="str">
        <x:v>10.50.70.63</x:v>
      </x:c>
      <x:c r="G8" t="n">
        <x:v>62</x:v>
      </x:c>
    </x:row>
    <x:row r="9">
      <x:c r="A9" t="n">
        <x:v>80</x:v>
      </x:c>
      <x:c r="B9" t="str">
        <x:v>IMPRESSAO</x:v>
      </x:c>
      <x:c r="C9" t="str">
        <x:v>10.50.80.0/27</x:v>
      </x:c>
      <x:c r="D9" t="str">
        <x:v>10.50.80.1</x:v>
      </x:c>
      <x:c r="E9" t="str">
        <x:v>reservas .10–.25</x:v>
      </x:c>
      <x:c r="F9" t="str">
        <x:v>10.50.80.31</x:v>
      </x:c>
      <x:c r="G9" t="n">
        <x:v>30</x:v>
      </x:c>
    </x:row>
    <x:row r="10">
      <x:c r="A10" t="n">
        <x:v>90</x:v>
      </x:c>
      <x:c r="B10" t="str">
        <x:v>GERENCIA</x:v>
      </x:c>
      <x:c r="C10" t="str">
        <x:v>10.50.90.0/27</x:v>
      </x:c>
      <x:c r="D10" t="str">
        <x:v>10.50.90.1</x:v>
      </x:c>
      <x:c r="E10" t="str">
        <x:v>estático .2–.25</x:v>
      </x:c>
      <x:c r="F10" t="str">
        <x:v>10.50.90.31</x:v>
      </x:c>
      <x:c r="G10" t="n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4" hidden="0" customWidth="1"/>
    <x:col min="4" max="4" width="15" hidden="0" customWidth="1"/>
    <x:col min="5" max="5" width="17" hidden="0" customWidth="1"/>
  </x:cols>
  <x:sheetData>
    <x:row r="1" ht="30" customHeight="1">
      <x:c r="A1" s="6" t="str">
        <x:v>VM</x:v>
      </x:c>
      <x:c r="B1" s="6" t="str">
        <x:v>Função</x:v>
      </x:c>
      <x:c r="C1" s="6" t="str">
        <x:v>vCPU</x:v>
      </x:c>
      <x:c r="D1" s="6" t="str">
        <x:v>RAM GB</x:v>
      </x:c>
      <x:c r="E1" s="6" t="str">
        <x:v>Disco GB</x:v>
      </x:c>
    </x:row>
    <x:row r="2">
      <x:c r="A2" t="str">
        <x:v>VM-ID01</x:v>
      </x:c>
      <x:c r="B2" t="str">
        <x:v>Identidade e DNS</x:v>
      </x:c>
      <x:c r="C2" t="n">
        <x:v>2</x:v>
      </x:c>
      <x:c r="D2" t="n">
        <x:v>8</x:v>
      </x:c>
      <x:c r="E2" t="n">
        <x:v>100</x:v>
      </x:c>
    </x:row>
    <x:row r="3">
      <x:c r="A3" t="str">
        <x:v>VM-NET01</x:v>
      </x:c>
      <x:c r="B3" t="str">
        <x:v>DHCP e NTP</x:v>
      </x:c>
      <x:c r="C3" t="n">
        <x:v>2</x:v>
      </x:c>
      <x:c r="D3" t="n">
        <x:v>4</x:v>
      </x:c>
      <x:c r="E3" t="n">
        <x:v>80</x:v>
      </x:c>
    </x:row>
    <x:row r="4">
      <x:c r="A4" t="str">
        <x:v>VM-FILES01</x:v>
      </x:c>
      <x:c r="B4" t="str">
        <x:v>Arquivos/SMB</x:v>
      </x:c>
      <x:c r="C4" t="n">
        <x:v>4</x:v>
      </x:c>
      <x:c r="D4" t="n">
        <x:v>16</x:v>
      </x:c>
      <x:c r="E4" t="n">
        <x:v>160</x:v>
      </x:c>
    </x:row>
    <x:row r="5">
      <x:c r="A5" t="str">
        <x:v>VM-APP01</x:v>
      </x:c>
      <x:c r="B5" t="str">
        <x:v>Aplicações</x:v>
      </x:c>
      <x:c r="C5" t="n">
        <x:v>4</x:v>
      </x:c>
      <x:c r="D5" t="n">
        <x:v>16</x:v>
      </x:c>
      <x:c r="E5" t="n">
        <x:v>160</x:v>
      </x:c>
    </x:row>
    <x:row r="6">
      <x:c r="A6" t="str">
        <x:v>VM-MON01</x:v>
      </x:c>
      <x:c r="B6" t="str">
        <x:v>Monitoramento</x:v>
      </x:c>
      <x:c r="C6" t="n">
        <x:v>2</x:v>
      </x:c>
      <x:c r="D6" t="n">
        <x:v>8</x:v>
      </x:c>
      <x:c r="E6" t="n">
        <x:v>160</x:v>
      </x:c>
    </x:row>
    <x:row r="7">
      <x:c r="A7" t="str">
        <x:v>VM-BKP01</x:v>
      </x:c>
      <x:c r="B7" t="str">
        <x:v>Backup</x:v>
      </x:c>
      <x:c r="C7" t="n">
        <x:v>2</x:v>
      </x:c>
      <x:c r="D7" t="n">
        <x:v>8</x:v>
      </x:c>
      <x:c r="E7" t="n">
        <x:v>160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40" hidden="0" customWidth="1"/>
  </x:cols>
  <x:sheetData>
    <x:row r="1" ht="30" customHeight="1">
      <x:c r="A1" s="6" t="str">
        <x:v>ID</x:v>
      </x:c>
      <x:c r="B1" s="6" t="str">
        <x:v>Atividade</x:v>
      </x:c>
      <x:c r="C1" s="6" t="str">
        <x:v>Situação</x:v>
      </x:c>
      <x:c r="D1" s="6" t="str">
        <x:v>Evidência necessária</x:v>
      </x:c>
    </x:row>
    <x:row r="2">
      <x:c r="A2" t="str">
        <x:v>ARC-01</x:v>
      </x:c>
      <x:c r="B2" t="str">
        <x:v>Compatibilidade modelos</x:v>
      </x:c>
      <x:c r="C2" t="str">
        <x:v>PENDENTE</x:v>
      </x:c>
      <x:c r="D2" t="str">
        <x:v>Manual e SKU</x:v>
      </x:c>
    </x:row>
    <x:row r="3">
      <x:c r="A3" t="str">
        <x:v>ARC-02</x:v>
      </x:c>
      <x:c r="B3" t="str">
        <x:v>Cotações reais</x:v>
      </x:c>
      <x:c r="C3" t="str">
        <x:v>PENDENTE</x:v>
      </x:c>
      <x:c r="D3" t="str">
        <x:v>Fornecedor, URL, data</x:v>
      </x:c>
    </x:row>
    <x:row r="4">
      <x:c r="A4" t="str">
        <x:v>SO-01</x:v>
      </x:c>
      <x:c r="B4" t="str">
        <x:v>Teste restauração</x:v>
      </x:c>
      <x:c r="C4" t="str">
        <x:v>PENDENTE</x:v>
      </x:c>
      <x:c r="D4" t="str">
        <x:v>Log + tempo</x:v>
      </x:c>
    </x:row>
    <x:row r="5">
      <x:c r="A5" t="str">
        <x:v>RED-01</x:v>
      </x:c>
      <x:c r="B5" t="str">
        <x:v>Packet Tracer nativo</x:v>
      </x:c>
      <x:c r="C5" t="str">
        <x:v>PENDENTE</x:v>
      </x:c>
      <x:c r="D5" t="str">
        <x:v>Arquivo .pkt</x:v>
      </x:c>
    </x:row>
    <x:row r="6">
      <x:c r="A6" t="str">
        <x:v>IOT-01</x:v>
      </x:c>
      <x:c r="B6" t="str">
        <x:v>Tinkercad 24 29 35 °C</x:v>
      </x:c>
      <x:c r="C6" t="str">
        <x:v>PENDENTE</x:v>
      </x:c>
      <x:c r="D6" t="str">
        <x:v>3 capturas e link</x:v>
      </x:c>
    </x:row>
    <x:row r="7">
      <x:c r="A7" t="str">
        <x:v>FIN-01</x:v>
      </x:c>
      <x:c r="B7" t="str">
        <x:v>Vídeo final</x:v>
      </x:c>
      <x:c r="C7" t="str">
        <x:v>PENDENTE</x:v>
      </x:c>
      <x:c r="D7" t="str">
        <x:v>URL público/não listado</x:v>
      </x:c>
    </x:row>
  </x:sheetData>
  <x:pageMargins left="0.7" right="0.7" top="0.75" bottom="0.75" header="0.3" footer="0.3"/>
</x:worksheet>
</file>