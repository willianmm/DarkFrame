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01bb840f2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os" sheetId="1" r:id="R34b6768bc05e46bc"/>
    <x:sheet xmlns:r="http://schemas.openxmlformats.org/officeDocument/2006/relationships" name="Perfis" sheetId="2" r:id="Rbc7a8efcec52477b"/>
    <x:sheet xmlns:r="http://schemas.openxmlformats.org/officeDocument/2006/relationships" name="IPv4 e VLAN" sheetId="3" r:id="R165c7d75f77c4fb8"/>
    <x:sheet xmlns:r="http://schemas.openxmlformats.org/officeDocument/2006/relationships" name="Acessos" sheetId="4" r:id="Rcd7a8bc8a2e74f5a"/>
    <x:sheet xmlns:r="http://schemas.openxmlformats.org/officeDocument/2006/relationships" name="Servicos" sheetId="5" r:id="R00d38a75816b41f6"/>
    <x:sheet xmlns:r="http://schemas.openxmlformats.org/officeDocument/2006/relationships" name="CAPEX estimado" sheetId="6" r:id="Rf2a715b8d64e4194"/>
    <x:sheet xmlns:r="http://schemas.openxmlformats.org/officeDocument/2006/relationships" name="OPEX pendente" sheetId="7" r:id="R4c1fe0b1f1fd4a8f"/>
    <x:sheet xmlns:r="http://schemas.openxmlformats.org/officeDocument/2006/relationships" name="Plano de testes" sheetId="8" r:id="Rddcefb35658c425a"/>
    <x:sheet xmlns:r="http://schemas.openxmlformats.org/officeDocument/2006/relationships" name="Riscos" sheetId="9" r:id="R75c84ea897de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 &quot;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213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a77f8ea7f4d0b" /><Relationship Type="http://schemas.openxmlformats.org/officeDocument/2006/relationships/theme" Target="/xl/theme/theme1.xml" Id="Ra2b8962346c142b4" /><Relationship Type="http://schemas.openxmlformats.org/officeDocument/2006/relationships/sharedStrings" Target="/xl/sharedStrings.xml" Id="R375095c7af07426f" /><Relationship Type="http://schemas.openxmlformats.org/officeDocument/2006/relationships/worksheet" Target="/xl/worksheets/sheet1.xml" Id="R34b6768bc05e46bc" /><Relationship Type="http://schemas.openxmlformats.org/officeDocument/2006/relationships/worksheet" Target="/xl/worksheets/sheet2.xml" Id="Rbc7a8efcec52477b" /><Relationship Type="http://schemas.openxmlformats.org/officeDocument/2006/relationships/worksheet" Target="/xl/worksheets/sheet3.xml" Id="R165c7d75f77c4fb8" /><Relationship Type="http://schemas.openxmlformats.org/officeDocument/2006/relationships/worksheet" Target="/xl/worksheets/sheet4.xml" Id="Rcd7a8bc8a2e74f5a" /><Relationship Type="http://schemas.openxmlformats.org/officeDocument/2006/relationships/worksheet" Target="/xl/worksheets/sheet5.xml" Id="R00d38a75816b41f6" /><Relationship Type="http://schemas.openxmlformats.org/officeDocument/2006/relationships/worksheet" Target="/xl/worksheets/sheet6.xml" Id="Rf2a715b8d64e4194" /><Relationship Type="http://schemas.openxmlformats.org/officeDocument/2006/relationships/worksheet" Target="/xl/worksheets/sheet7.xml" Id="R4c1fe0b1f1fd4a8f" /><Relationship Type="http://schemas.openxmlformats.org/officeDocument/2006/relationships/worksheet" Target="/xl/worksheets/sheet8.xml" Id="Rddcefb35658c425a" /><Relationship Type="http://schemas.openxmlformats.org/officeDocument/2006/relationships/worksheet" Target="/xl/worksheets/sheet9.xml" Id="R75c84ea897de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9" customHeight="1">
      <x:c r="A1" s="4" t="str">
        <x:v>Andar</x:v>
      </x:c>
      <x:c r="B1" s="4" t="str">
        <x:v>Setor</x:v>
      </x:c>
      <x:c r="C1" s="4" t="str">
        <x:v>Funcionarios</x:v>
      </x:c>
      <x:c r="D1" s="4" t="str">
        <x:v>Perfil</x:v>
      </x:c>
      <x:c r="E1" s="4" t="str">
        <x:v>Postos</x:v>
      </x:c>
      <x:c r="F1" s="4" t="str">
        <x:v>Aplicacoes</x:v>
      </x:c>
      <x:c r="G1" s="4" t="str">
        <x:v>Perifericos</x:v>
      </x:c>
    </x:row>
    <x:row r="2" ht="35" customHeight="1">
      <x:c r="A2" s="8" t="str">
        <x:v>1</x:v>
      </x:c>
      <x:c r="B2" s="8" t="str">
        <x:v>Recepcao</x:v>
      </x:c>
      <x:c r="C2" s="8" t="n">
        <x:v>2</x:v>
      </x:c>
      <x:c r="D2" s="8" t="str">
        <x:v>ADM</x:v>
      </x:c>
      <x:c r="E2" s="8" t="n">
        <x:v>2</x:v>
      </x:c>
      <x:c r="F2" s="8" t="str">
        <x:v>Navegador/CRM/office</x:v>
      </x:c>
      <x:c r="G2" s="8" t="str">
        <x:v>Headset; impressora compartilhada</x:v>
      </x:c>
    </x:row>
    <x:row r="3" ht="35" customHeight="1">
      <x:c r="A3" s="8" t="str">
        <x:v>1</x:v>
      </x:c>
      <x:c r="B3" s="8" t="str">
        <x:v>Publicacao</x:v>
      </x:c>
      <x:c r="C3" s="8" t="n">
        <x:v>8</x:v>
      </x:c>
      <x:c r="D3" s="8" t="str">
        <x:v>OP</x:v>
      </x:c>
      <x:c r="E3" s="8" t="n">
        <x:v>8</x:v>
      </x:c>
      <x:c r="F3" s="8" t="str">
        <x:v>YouTube Studio; planilhas; calendario</x:v>
      </x:c>
      <x:c r="G3" s="8" t="str">
        <x:v>Fones</x:v>
      </x:c>
    </x:row>
    <x:row r="4" ht="35" customHeight="1">
      <x:c r="A4" s="8" t="str">
        <x:v>1</x:v>
      </x:c>
      <x:c r="B4" s="8" t="str">
        <x:v>Suporte</x:v>
      </x:c>
      <x:c r="C4" s="8" t="n">
        <x:v>2</x:v>
      </x:c>
      <x:c r="D4" s="8" t="str">
        <x:v>OP</x:v>
      </x:c>
      <x:c r="E4" s="8" t="n">
        <x:v>2</x:v>
      </x:c>
      <x:c r="F4" s="8" t="str">
        <x:v>CRM; canais; comunicacao</x:v>
      </x:c>
      <x:c r="G4" s="8" t="str">
        <x:v>Headset</x:v>
      </x:c>
    </x:row>
    <x:row r="5" ht="35" customHeight="1">
      <x:c r="A5" s="8" t="str">
        <x:v>2</x:v>
      </x:c>
      <x:c r="B5" s="8" t="str">
        <x:v>Roteiros</x:v>
      </x:c>
      <x:c r="C5" s="8" t="n">
        <x:v>8</x:v>
      </x:c>
      <x:c r="D5" s="8" t="str">
        <x:v>OP</x:v>
      </x:c>
      <x:c r="E5" s="8" t="n">
        <x:v>8</x:v>
      </x:c>
      <x:c r="F5" s="8" t="str">
        <x:v>Editor de texto; pesquisa</x:v>
      </x:c>
      <x:c r="G5" s="8" t="str">
        <x:v>Headset</x:v>
      </x:c>
    </x:row>
    <x:row r="6" ht="35" customHeight="1">
      <x:c r="A6" s="8" t="str">
        <x:v>2</x:v>
      </x:c>
      <x:c r="B6" s="8" t="str">
        <x:v>Pesquisa e analise</x:v>
      </x:c>
      <x:c r="C6" s="8" t="n">
        <x:v>6</x:v>
      </x:c>
      <x:c r="D6" s="8" t="str">
        <x:v>OP</x:v>
      </x:c>
      <x:c r="E6" s="8" t="n">
        <x:v>6</x:v>
      </x:c>
      <x:c r="F6" s="8" t="str">
        <x:v>Analytics; dashboard; planilhas</x:v>
      </x:c>
      <x:c r="G6" s="8" t="str">
        <x:v>Monitor 24</x:v>
      </x:c>
    </x:row>
    <x:row r="7" ht="35" customHeight="1">
      <x:c r="A7" s="8" t="str">
        <x:v>3</x:v>
      </x:c>
      <x:c r="B7" s="8" t="str">
        <x:v>Edicao</x:v>
      </x:c>
      <x:c r="C7" s="8" t="n">
        <x:v>10</x:v>
      </x:c>
      <x:c r="D7" s="8" t="str">
        <x:v>ESP</x:v>
      </x:c>
      <x:c r="E7" s="8" t="n">
        <x:v>10</x:v>
      </x:c>
      <x:c r="F7" s="8" t="str">
        <x:v>NLE; transcodificacao; media assets</x:v>
      </x:c>
      <x:c r="G7" s="8" t="str">
        <x:v>Monitor 27; fones</x:v>
      </x:c>
    </x:row>
    <x:row r="8" ht="35" customHeight="1">
      <x:c r="A8" s="8" t="str">
        <x:v>3</x:v>
      </x:c>
      <x:c r="B8" s="8" t="str">
        <x:v>Design</x:v>
      </x:c>
      <x:c r="C8" s="8" t="n">
        <x:v>4</x:v>
      </x:c>
      <x:c r="D8" s="8" t="str">
        <x:v>ESP</x:v>
      </x:c>
      <x:c r="E8" s="8" t="n">
        <x:v>4</x:v>
      </x:c>
      <x:c r="F8" s="8" t="str">
        <x:v>Photoshop/alternativa; criacao</x:v>
      </x:c>
      <x:c r="G8" s="8" t="str">
        <x:v>Monitor 27</x:v>
      </x:c>
    </x:row>
    <x:row r="9" ht="35" customHeight="1">
      <x:c r="A9" s="8" t="str">
        <x:v>3</x:v>
      </x:c>
      <x:c r="B9" s="8" t="str">
        <x:v>Audio</x:v>
      </x:c>
      <x:c r="C9" s="8" t="n">
        <x:v>2</x:v>
      </x:c>
      <x:c r="D9" s="8" t="str">
        <x:v>ESP</x:v>
      </x:c>
      <x:c r="E9" s="8" t="n">
        <x:v>2</x:v>
      </x:c>
      <x:c r="F9" s="8" t="str">
        <x:v>DAW; narracao</x:v>
      </x:c>
      <x:c r="G9" s="8" t="str">
        <x:v>Interface de audio/fones</x:v>
      </x:c>
    </x:row>
    <x:row r="10" ht="35" customHeight="1">
      <x:c r="A10" s="8" t="str">
        <x:v>4</x:v>
      </x:c>
      <x:c r="B10" s="8" t="str">
        <x:v>TI</x:v>
      </x:c>
      <x:c r="C10" s="8" t="n">
        <x:v>4</x:v>
      </x:c>
      <x:c r="D10" s="8" t="str">
        <x:v>OP</x:v>
      </x:c>
      <x:c r="E10" s="8" t="n">
        <x:v>4</x:v>
      </x:c>
      <x:c r="F10" s="8" t="str">
        <x:v>Gerencia; monitoramento</x:v>
      </x:c>
      <x:c r="G10" s="8" t="str">
        <x:v>Notebook opcional sob justificativa</x:v>
      </x:c>
    </x:row>
    <x:row r="11" ht="35" customHeight="1">
      <x:c r="A11" s="8" t="str">
        <x:v>4</x:v>
      </x:c>
      <x:c r="B11" s="8" t="str">
        <x:v>Financeiro</x:v>
      </x:c>
      <x:c r="C11" s="8" t="n">
        <x:v>2</x:v>
      </x:c>
      <x:c r="D11" s="8" t="str">
        <x:v>ADM</x:v>
      </x:c>
      <x:c r="E11" s="8" t="n">
        <x:v>2</x:v>
      </x:c>
      <x:c r="F11" s="8" t="str">
        <x:v>ERP; planilhas</x:v>
      </x:c>
      <x:c r="G11" s="8" t="str">
        <x:v>Impressora compartilhada</x:v>
      </x:c>
    </x:row>
    <x:row r="12" ht="35" customHeight="1">
      <x:c r="A12" s="8" t="str">
        <x:v>4</x:v>
      </x:c>
      <x:c r="B12" s="8" t="str">
        <x:v>RH</x:v>
      </x:c>
      <x:c r="C12" s="8" t="n">
        <x:v>1</x:v>
      </x:c>
      <x:c r="D12" s="8" t="str">
        <x:v>ADM</x:v>
      </x:c>
      <x:c r="E12" s="8" t="n">
        <x:v>1</x:v>
      </x:c>
      <x:c r="F12" s="8" t="str">
        <x:v>Pessoas; folha</x:v>
      </x:c>
      <x:c r="G12" s="8" t="str">
        <x:v>Multifuncional</x:v>
      </x:c>
    </x:row>
    <x:row r="13" ht="35" customHeight="1">
      <x:c r="A13" s="8" t="str">
        <x:v>4</x:v>
      </x:c>
      <x:c r="B13" s="8" t="str">
        <x:v>Diretoria</x:v>
      </x:c>
      <x:c r="C13" s="8" t="n">
        <x:v>1</x:v>
      </x:c>
      <x:c r="D13" s="8" t="str">
        <x:v>ADM</x:v>
      </x:c>
      <x:c r="E13" s="8" t="n">
        <x:v>1</x:v>
      </x:c>
      <x:c r="F13" s="8" t="str">
        <x:v>Business intelligence</x:v>
      </x:c>
      <x:c r="G13" s="8" t="str">
        <x:v>Videoconferencia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</x:cols>
  <x:sheetData>
    <x:row r="1" ht="29" customHeight="1">
      <x:c r="A1" s="4" t="str">
        <x:v>Codigo</x:v>
      </x:c>
      <x:c r="B1" s="4" t="str">
        <x:v>Qtd</x:v>
      </x:c>
      <x:c r="C1" s="4" t="str">
        <x:v>CPU</x:v>
      </x:c>
      <x:c r="D1" s="4" t="str">
        <x:v>Placa mae</x:v>
      </x:c>
      <x:c r="E1" s="4" t="str">
        <x:v>Memoria</x:v>
      </x:c>
      <x:c r="F1" s="4" t="str">
        <x:v>SSD</x:v>
      </x:c>
      <x:c r="G1" s="4" t="str">
        <x:v>Video</x:v>
      </x:c>
      <x:c r="H1" s="4" t="str">
        <x:v>Monitor</x:v>
      </x:c>
      <x:c r="I1" s="4" t="str">
        <x:v>Pendencia de homologacao</x:v>
      </x:c>
    </x:row>
    <x:row r="2" ht="35" customHeight="1">
      <x:c r="A2" s="8" t="str">
        <x:v>ADM</x:v>
      </x:c>
      <x:c r="B2" s="8" t="n">
        <x:v>6</x:v>
      </x:c>
      <x:c r="C2" s="8" t="str">
        <x:v>Ryzen 5 5600G</x:v>
      </x:c>
      <x:c r="D2" s="8" t="str">
        <x:v>B550 AM4 (SKU pendente)</x:v>
      </x:c>
      <x:c r="E2" s="8" t="str">
        <x:v>16 GB DDR4-3200</x:v>
      </x:c>
      <x:c r="F2" s="8" t="str">
        <x:v>NVMe 500 GB</x:v>
      </x:c>
      <x:c r="G2" s="8" t="str">
        <x:v>Integrada</x:v>
      </x:c>
      <x:c r="H2" s="8" t="str">
        <x:v>24 polegadas</x:v>
      </x:c>
      <x:c r="I2" s="8" t="str">
        <x:v>Validar BIOS, TPM, fonte e gabinete</x:v>
      </x:c>
    </x:row>
    <x:row r="3" ht="35" customHeight="1">
      <x:c r="A3" s="8" t="str">
        <x:v>OP</x:v>
      </x:c>
      <x:c r="B3" s="8" t="n">
        <x:v>28</x:v>
      </x:c>
      <x:c r="C3" s="8" t="str">
        <x:v>Ryzen 5 5600G</x:v>
      </x:c>
      <x:c r="D3" s="8" t="str">
        <x:v>B550 AM4 (SKU pendente)</x:v>
      </x:c>
      <x:c r="E3" s="8" t="str">
        <x:v>32 GB DDR4-3200</x:v>
      </x:c>
      <x:c r="F3" s="8" t="str">
        <x:v>NVMe 1 TB</x:v>
      </x:c>
      <x:c r="G3" s="8" t="str">
        <x:v>Integrada</x:v>
      </x:c>
      <x:c r="H3" s="8" t="str">
        <x:v>24 polegadas</x:v>
      </x:c>
      <x:c r="I3" s="8" t="str">
        <x:v>Validar BIOS, TPM, fonte e gabinete</x:v>
      </x:c>
    </x:row>
    <x:row r="4" ht="35" customHeight="1">
      <x:c r="A4" s="8" t="str">
        <x:v>ESP</x:v>
      </x:c>
      <x:c r="B4" s="8" t="n">
        <x:v>16</x:v>
      </x:c>
      <x:c r="C4" s="8" t="str">
        <x:v>Ryzen 7 7700</x:v>
      </x:c>
      <x:c r="D4" s="8" t="str">
        <x:v>B650 AM5 (SKU pendente)</x:v>
      </x:c>
      <x:c r="E4" s="8" t="str">
        <x:v>64 GB DDR5-5200</x:v>
      </x:c>
      <x:c r="F4" s="8" t="str">
        <x:v>NVMe 2 TB</x:v>
      </x:c>
      <x:c r="G4" s="8" t="str">
        <x:v>RTX 4070 12 GB (classe)</x:v>
      </x:c>
      <x:c r="H4" s="8" t="str">
        <x:v>27 polegadas</x:v>
      </x:c>
      <x:c r="I4" s="8" t="str">
        <x:v>Validar PSU, chassis, conector GPU e licencas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9" customHeight="1">
      <x:c r="A1" s="4" t="str">
        <x:v>VLAN</x:v>
      </x:c>
      <x:c r="B1" s="4" t="str">
        <x:v>Setor</x:v>
      </x:c>
      <x:c r="C1" s="4" t="str">
        <x:v>Rede CIDR</x:v>
      </x:c>
      <x:c r="D1" s="4" t="str">
        <x:v>Mascara</x:v>
      </x:c>
      <x:c r="E1" s="4" t="str">
        <x:v>Gateway</x:v>
      </x:c>
      <x:c r="F1" s="4" t="str">
        <x:v>Broadcast</x:v>
      </x:c>
      <x:c r="G1" s="4" t="str">
        <x:v>Hosts uteis</x:v>
      </x:c>
      <x:c r="H1" s="4" t="str">
        <x:v>Pool DHCP</x:v>
      </x:c>
      <x:c r="I1" s="4" t="str">
        <x:v>Politica</x:v>
      </x:c>
    </x:row>
    <x:row r="2" ht="35" customHeight="1">
      <x:c r="A2" s="8" t="n">
        <x:v>10</x:v>
      </x:c>
      <x:c r="B2" s="8" t="str">
        <x:v>ADMIN</x:v>
      </x:c>
      <x:c r="C2" s="8" t="str">
        <x:v>10.20.10.0/27</x:v>
      </x:c>
      <x:c r="D2" s="8" t="str">
        <x:v>255.255.255.224</x:v>
      </x:c>
      <x:c r="E2" s="8" t="str">
        <x:v>10.20.10.1</x:v>
      </x:c>
      <x:c r="F2" s="8" t="str">
        <x:v>10.20.10.31</x:v>
      </x:c>
      <x:c r="G2" s="8" t="n">
        <x:v>30</x:v>
      </x:c>
      <x:c r="H2" s="8" t="str">
        <x:v>a definir</x:v>
      </x:c>
      <x:c r="I2" s="8" t="str">
        <x:v>Conforme politica</x:v>
      </x:c>
    </x:row>
    <x:row r="3" ht="35" customHeight="1">
      <x:c r="A3" s="8" t="n">
        <x:v>20</x:v>
      </x:c>
      <x:c r="B3" s="8" t="str">
        <x:v>OPERACIONAL</x:v>
      </x:c>
      <x:c r="C3" s="8" t="str">
        <x:v>10.20.20.0/26</x:v>
      </x:c>
      <x:c r="D3" s="8" t="str">
        <x:v>255.255.255.192</x:v>
      </x:c>
      <x:c r="E3" s="8" t="str">
        <x:v>10.20.20.1</x:v>
      </x:c>
      <x:c r="F3" s="8" t="str">
        <x:v>10.20.20.63</x:v>
      </x:c>
      <x:c r="G3" s="8" t="n">
        <x:v>62</x:v>
      </x:c>
      <x:c r="H3" s="8" t="str">
        <x:v>a definir</x:v>
      </x:c>
      <x:c r="I3" s="8" t="str">
        <x:v>Conforme politica</x:v>
      </x:c>
    </x:row>
    <x:row r="4" ht="35" customHeight="1">
      <x:c r="A4" s="8" t="n">
        <x:v>30</x:v>
      </x:c>
      <x:c r="B4" s="8" t="str">
        <x:v>CRIATIVO</x:v>
      </x:c>
      <x:c r="C4" s="8" t="str">
        <x:v>10.20.30.0/27</x:v>
      </x:c>
      <x:c r="D4" s="8" t="str">
        <x:v>255.255.255.224</x:v>
      </x:c>
      <x:c r="E4" s="8" t="str">
        <x:v>10.20.30.1</x:v>
      </x:c>
      <x:c r="F4" s="8" t="str">
        <x:v>10.20.30.31</x:v>
      </x:c>
      <x:c r="G4" s="8" t="n">
        <x:v>30</x:v>
      </x:c>
      <x:c r="H4" s="8" t="str">
        <x:v>a definir</x:v>
      </x:c>
      <x:c r="I4" s="8" t="str">
        <x:v>Conforme politica</x:v>
      </x:c>
    </x:row>
    <x:row r="5" ht="35" customHeight="1">
      <x:c r="A5" s="8" t="n">
        <x:v>40</x:v>
      </x:c>
      <x:c r="B5" s="8" t="str">
        <x:v>TI</x:v>
      </x:c>
      <x:c r="C5" s="8" t="str">
        <x:v>10.20.40.0/28</x:v>
      </x:c>
      <x:c r="D5" s="8" t="str">
        <x:v>255.255.255.240</x:v>
      </x:c>
      <x:c r="E5" s="8" t="str">
        <x:v>10.20.40.1</x:v>
      </x:c>
      <x:c r="F5" s="8" t="str">
        <x:v>10.20.40.15</x:v>
      </x:c>
      <x:c r="G5" s="8" t="n">
        <x:v>14</x:v>
      </x:c>
      <x:c r="H5" s="8" t="str">
        <x:v>a definir</x:v>
      </x:c>
      <x:c r="I5" s="8" t="str">
        <x:v>Conforme politica</x:v>
      </x:c>
    </x:row>
    <x:row r="6" ht="35" customHeight="1">
      <x:c r="A6" s="8" t="n">
        <x:v>50</x:v>
      </x:c>
      <x:c r="B6" s="8" t="str">
        <x:v>SERVIDORES</x:v>
      </x:c>
      <x:c r="C6" s="8" t="str">
        <x:v>10.20.50.0/27</x:v>
      </x:c>
      <x:c r="D6" s="8" t="str">
        <x:v>255.255.255.224</x:v>
      </x:c>
      <x:c r="E6" s="8" t="str">
        <x:v>10.20.50.1</x:v>
      </x:c>
      <x:c r="F6" s="8" t="str">
        <x:v>10.20.50.31</x:v>
      </x:c>
      <x:c r="G6" s="8" t="n">
        <x:v>30</x:v>
      </x:c>
      <x:c r="H6" s="8" t="str">
        <x:v>a definir</x:v>
      </x:c>
      <x:c r="I6" s="8" t="str">
        <x:v>Conforme politica</x:v>
      </x:c>
    </x:row>
    <x:row r="7" ht="35" customHeight="1">
      <x:c r="A7" s="8" t="n">
        <x:v>60</x:v>
      </x:c>
      <x:c r="B7" s="8" t="str">
        <x:v>IMPRESSAO</x:v>
      </x:c>
      <x:c r="C7" s="8" t="str">
        <x:v>10.20.60.0/28</x:v>
      </x:c>
      <x:c r="D7" s="8" t="str">
        <x:v>255.255.255.240</x:v>
      </x:c>
      <x:c r="E7" s="8" t="str">
        <x:v>10.20.60.1</x:v>
      </x:c>
      <x:c r="F7" s="8" t="str">
        <x:v>10.20.60.15</x:v>
      </x:c>
      <x:c r="G7" s="8" t="n">
        <x:v>14</x:v>
      </x:c>
      <x:c r="H7" s="8" t="str">
        <x:v>a definir</x:v>
      </x:c>
      <x:c r="I7" s="8" t="str">
        <x:v>Conforme politica</x:v>
      </x:c>
    </x:row>
    <x:row r="8" ht="35" customHeight="1">
      <x:c r="A8" s="8" t="n">
        <x:v>70</x:v>
      </x:c>
      <x:c r="B8" s="8" t="str">
        <x:v>CORP-WIFI</x:v>
      </x:c>
      <x:c r="C8" s="8" t="str">
        <x:v>10.20.70.0/26</x:v>
      </x:c>
      <x:c r="D8" s="8" t="str">
        <x:v>255.255.255.192</x:v>
      </x:c>
      <x:c r="E8" s="8" t="str">
        <x:v>10.20.70.1</x:v>
      </x:c>
      <x:c r="F8" s="8" t="str">
        <x:v>10.20.70.63</x:v>
      </x:c>
      <x:c r="G8" s="8" t="n">
        <x:v>62</x:v>
      </x:c>
      <x:c r="H8" s="8" t="str">
        <x:v>a definir</x:v>
      </x:c>
      <x:c r="I8" s="8" t="str">
        <x:v>Conforme politica</x:v>
      </x:c>
    </x:row>
    <x:row r="9" ht="35" customHeight="1">
      <x:c r="A9" s="8" t="n">
        <x:v>80</x:v>
      </x:c>
      <x:c r="B9" s="8" t="str">
        <x:v>VISITANTES</x:v>
      </x:c>
      <x:c r="C9" s="8" t="str">
        <x:v>10.20.80.0/26</x:v>
      </x:c>
      <x:c r="D9" s="8" t="str">
        <x:v>255.255.255.192</x:v>
      </x:c>
      <x:c r="E9" s="8" t="str">
        <x:v>10.20.80.1</x:v>
      </x:c>
      <x:c r="F9" s="8" t="str">
        <x:v>10.20.80.63</x:v>
      </x:c>
      <x:c r="G9" s="8" t="n">
        <x:v>62</x:v>
      </x:c>
      <x:c r="H9" s="8" t="str">
        <x:v>a definir</x:v>
      </x:c>
      <x:c r="I9" s="8" t="str">
        <x:v>Conforme politica</x:v>
      </x:c>
    </x:row>
    <x:row r="10" ht="35" customHeight="1">
      <x:c r="A10" s="8" t="n">
        <x:v>90</x:v>
      </x:c>
      <x:c r="B10" s="8" t="str">
        <x:v>IOT</x:v>
      </x:c>
      <x:c r="C10" s="8" t="str">
        <x:v>10.20.90.0/28</x:v>
      </x:c>
      <x:c r="D10" s="8" t="str">
        <x:v>255.255.255.240</x:v>
      </x:c>
      <x:c r="E10" s="8" t="str">
        <x:v>10.20.90.1</x:v>
      </x:c>
      <x:c r="F10" s="8" t="str">
        <x:v>10.20.90.15</x:v>
      </x:c>
      <x:c r="G10" s="8" t="n">
        <x:v>14</x:v>
      </x:c>
      <x:c r="H10" s="8" t="str">
        <x:v>a definir</x:v>
      </x:c>
      <x:c r="I10" s="8" t="str">
        <x:v>Conforme politica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</x:cols>
  <x:sheetData>
    <x:row r="1" ht="29" customHeight="1">
      <x:c r="A1" s="4" t="str">
        <x:v>Grupo</x:v>
      </x:c>
      <x:c r="B1" s="4" t="str">
        <x:v>Equipe</x:v>
      </x:c>
      <x:c r="C1" s="4" t="str">
        <x:v>Recurso</x:v>
      </x:c>
      <x:c r="D1" s="4" t="str">
        <x:v>Direito</x:v>
      </x:c>
    </x:row>
    <x:row r="2" ht="35" customHeight="1">
      <x:c r="A2" s="8" t="str">
        <x:v>ADM</x:v>
      </x:c>
      <x:c r="B2" s="8" t="str">
        <x:v>Financeiro e direcao</x:v>
      </x:c>
      <x:c r="C2" s="8" t="str">
        <x:v>Dados administrativos</x:v>
      </x:c>
      <x:c r="D2" s="8" t="str">
        <x:v>ALTERAR</x:v>
      </x:c>
    </x:row>
    <x:row r="3" ht="35" customHeight="1">
      <x:c r="A3" s="8" t="str">
        <x:v>OP</x:v>
      </x:c>
      <x:c r="B3" s="8" t="str">
        <x:v>Conteudo e operacoes</x:v>
      </x:c>
      <x:c r="C3" s="8" t="str">
        <x:v>Pastas de producao</x:v>
      </x:c>
      <x:c r="D3" s="8" t="str">
        <x:v>ALTERAR</x:v>
      </x:c>
    </x:row>
    <x:row r="4" ht="35" customHeight="1">
      <x:c r="A4" s="8" t="str">
        <x:v>ESP</x:v>
      </x:c>
      <x:c r="B4" s="8" t="str">
        <x:v>Criativo</x:v>
      </x:c>
      <x:c r="C4" s="8" t="str">
        <x:v>Projetos ativos e NAS</x:v>
      </x:c>
      <x:c r="D4" s="8" t="str">
        <x:v>ALTERAR</x:v>
      </x:c>
    </x:row>
    <x:row r="5" ht="35" customHeight="1">
      <x:c r="A5" s="8" t="str">
        <x:v>TI</x:v>
      </x:c>
      <x:c r="B5" s="8" t="str">
        <x:v>Infraestrutura</x:v>
      </x:c>
      <x:c r="C5" s="8" t="str">
        <x:v>Administracao com conta separada</x:v>
      </x:c>
      <x:c r="D5" s="8" t="str">
        <x:v>ADMIN</x:v>
      </x:c>
    </x:row>
    <x:row r="6" ht="35" customHeight="1">
      <x:c r="A6" s="8" t="str">
        <x:v>VISITANTES</x:v>
      </x:c>
      <x:c r="B6" s="8" t="str">
        <x:v>Internet</x:v>
      </x:c>
      <x:c r="C6" s="8" t="str">
        <x:v>LAN interna</x:v>
      </x:c>
      <x:c r="D6" s="8" t="str">
        <x:v>NEGAR</x:v>
      </x:c>
    </x:row>
    <x:row r="7" ht="35" customHeight="1">
      <x:c r="A7" s="8" t="str">
        <x:v>IoT</x:v>
      </x:c>
      <x:c r="B7" s="8" t="str">
        <x:v>Monitoramento</x:v>
      </x:c>
      <x:c r="C7" s="8" t="str">
        <x:v>Outras VLANs</x:v>
      </x:c>
      <x:c r="D7" s="8" t="str">
        <x:v>NEGAR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9" customHeight="1">
      <x:c r="A1" s="4" t="str">
        <x:v>ID</x:v>
      </x:c>
      <x:c r="B1" s="4" t="str">
        <x:v>Funcao</x:v>
      </x:c>
      <x:c r="C1" s="4" t="str">
        <x:v>SO</x:v>
      </x:c>
      <x:c r="D1" s="4" t="str">
        <x:v>Recursos</x:v>
      </x:c>
      <x:c r="E1" s="4" t="str">
        <x:v>VLAN</x:v>
      </x:c>
      <x:c r="F1" s="4" t="str">
        <x:v>Observacoes</x:v>
      </x:c>
    </x:row>
    <x:row r="2" ht="35" customHeight="1">
      <x:c r="A2" s="8" t="str">
        <x:v>HV01</x:v>
      </x:c>
      <x:c r="B2" s="8" t="str">
        <x:v>Host</x:v>
      </x:c>
      <x:c r="C2" s="8" t="str">
        <x:v>Proxmox VE 9.x</x:v>
      </x:c>
      <x:c r="D2" s="8" t="str">
        <x:v>128 GB RAM ECC</x:v>
      </x:c>
      <x:c r="E2" s="8" t="str">
        <x:v>Host fisico</x:v>
      </x:c>
      <x:c r="F2" s="8" t="str">
        <x:v>Versao e suporte a contratar</x:v>
      </x:c>
    </x:row>
    <x:row r="3" ht="35" customHeight="1">
      <x:c r="A3" s="8" t="str">
        <x:v>VM01</x:v>
      </x:c>
      <x:c r="B3" s="8" t="str">
        <x:v>Diretorio</x:v>
      </x:c>
      <x:c r="C3" s="8" t="str">
        <x:v>Ubuntu 24.04 LTS</x:v>
      </x:c>
      <x:c r="D3" s="8" t="str">
        <x:v>4 vCPU / 8 GB</x:v>
      </x:c>
      <x:c r="E3" s="8" t="str">
        <x:v>VLAN 50</x:v>
      </x:c>
      <x:c r="F3" s="8" t="str">
        <x:v>Testar autenticação Windows</x:v>
      </x:c>
    </x:row>
    <x:row r="4" ht="35" customHeight="1">
      <x:c r="A4" s="8" t="str">
        <x:v>VM02</x:v>
      </x:c>
      <x:c r="B4" s="8" t="str">
        <x:v>DNS DHCP</x:v>
      </x:c>
      <x:c r="C4" s="8" t="str">
        <x:v>Ubuntu 24.04 LTS</x:v>
      </x:c>
      <x:c r="D4" s="8" t="str">
        <x:v>2 vCPU / 4 GB</x:v>
      </x:c>
      <x:c r="E4" s="8" t="str">
        <x:v>VLAN 50</x:v>
      </x:c>
      <x:c r="F4" s="8" t="str">
        <x:v>Relay nas VLANs</x:v>
      </x:c>
    </x:row>
    <x:row r="5" ht="35" customHeight="1">
      <x:c r="A5" s="8" t="str">
        <x:v>VM03</x:v>
      </x:c>
      <x:c r="B5" s="8" t="str">
        <x:v>Arquivos</x:v>
      </x:c>
      <x:c r="C5" s="8" t="str">
        <x:v>Ubuntu 24.04 LTS</x:v>
      </x:c>
      <x:c r="D5" s="8" t="str">
        <x:v>4 vCPU / 16 GB</x:v>
      </x:c>
      <x:c r="E5" s="8" t="str">
        <x:v>VLAN 50</x:v>
      </x:c>
      <x:c r="F5" s="8" t="str">
        <x:v>Storage NAS</x:v>
      </x:c>
    </x:row>
    <x:row r="6" ht="35" customHeight="1">
      <x:c r="A6" s="8" t="str">
        <x:v>VM04</x:v>
      </x:c>
      <x:c r="B6" s="8" t="str">
        <x:v>Aplicacoes</x:v>
      </x:c>
      <x:c r="C6" s="8" t="str">
        <x:v>Ubuntu 24.04 LTS</x:v>
      </x:c>
      <x:c r="D6" s="8" t="str">
        <x:v>4 vCPU / 12 GB</x:v>
      </x:c>
      <x:c r="E6" s="8" t="str">
        <x:v>VLAN 50</x:v>
      </x:c>
      <x:c r="F6" s="8" t="str">
        <x:v>Validar integrações</x:v>
      </x:c>
    </x:row>
    <x:row r="7" ht="35" customHeight="1">
      <x:c r="A7" s="8" t="str">
        <x:v>VM05</x:v>
      </x:c>
      <x:c r="B7" s="8" t="str">
        <x:v>Banco</x:v>
      </x:c>
      <x:c r="C7" s="8" t="str">
        <x:v>Ubuntu 24.04 LTS</x:v>
      </x:c>
      <x:c r="D7" s="8" t="str">
        <x:v>4 vCPU / 16 GB</x:v>
      </x:c>
      <x:c r="E7" s="8" t="str">
        <x:v>VLAN 50</x:v>
      </x:c>
      <x:c r="F7" s="8" t="str">
        <x:v>Backup transacional</x:v>
      </x:c>
    </x:row>
    <x:row r="8" ht="35" customHeight="1">
      <x:c r="A8" s="8" t="str">
        <x:v>VM06</x:v>
      </x:c>
      <x:c r="B8" s="8" t="str">
        <x:v>Monitoramento</x:v>
      </x:c>
      <x:c r="C8" s="8" t="str">
        <x:v>Ubuntu 24.04 LTS</x:v>
      </x:c>
      <x:c r="D8" s="8" t="str">
        <x:v>2 vCPU / 8 GB</x:v>
      </x:c>
      <x:c r="E8" s="8" t="str">
        <x:v>VLAN 50</x:v>
      </x:c>
      <x:c r="F8" s="8" t="str">
        <x:v>Alertas e logs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9" customHeight="1">
      <x:c r="A1" s="4" t="str">
        <x:v>Item</x:v>
      </x:c>
      <x:c r="B1" s="4" t="str">
        <x:v>Qtd</x:v>
      </x:c>
      <x:c r="C1" s="4" t="str">
        <x:v>Unitario BRL</x:v>
      </x:c>
      <x:c r="D1" s="4" t="str">
        <x:v>Subtotal BRL</x:v>
      </x:c>
      <x:c r="E1" s="4" t="str">
        <x:v>Status / fonte</x:v>
      </x:c>
    </x:row>
    <x:row r="2" ht="35" customHeight="1">
      <x:c r="A2" s="8" t="str">
        <x:v>Estacao ADM completa</x:v>
      </x:c>
      <x:c r="B2" s="8" t="n">
        <x:v>6</x:v>
      </x:c>
      <x:c r="C2" s="10" t="n">
        <x:v>5000</x:v>
      </x:c>
      <x:c r="D2" s="10" t="n">
        <x:f>B2*C2</x:f>
        <x:v>30000</x:v>
      </x:c>
      <x:c r="E2" s="8" t="str">
        <x:v>Planejamento; nao cotado</x:v>
      </x:c>
    </x:row>
    <x:row r="3" ht="35" customHeight="1">
      <x:c r="A3" s="8" t="str">
        <x:v>Estacao OP completa</x:v>
      </x:c>
      <x:c r="B3" s="8" t="n">
        <x:v>28</x:v>
      </x:c>
      <x:c r="C3" s="10" t="n">
        <x:v>7000</x:v>
      </x:c>
      <x:c r="D3" s="10" t="n">
        <x:f>B3*C3</x:f>
        <x:v>196000</x:v>
      </x:c>
      <x:c r="E3" s="8" t="str">
        <x:v>Planejamento; nao cotado</x:v>
      </x:c>
    </x:row>
    <x:row r="4" ht="35" customHeight="1">
      <x:c r="A4" s="8" t="str">
        <x:v>Estacao ESP completa</x:v>
      </x:c>
      <x:c r="B4" s="8" t="n">
        <x:v>16</x:v>
      </x:c>
      <x:c r="C4" s="10" t="n">
        <x:v>13500</x:v>
      </x:c>
      <x:c r="D4" s="10" t="n">
        <x:f>B4*C4</x:f>
        <x:v>216000</x:v>
      </x:c>
      <x:c r="E4" s="8" t="str">
        <x:v>Planejamento; nao cotado</x:v>
      </x:c>
    </x:row>
    <x:row r="5" ht="35" customHeight="1">
      <x:c r="A5" s="8" t="str">
        <x:v>Servidor host e componentes</x:v>
      </x:c>
      <x:c r="B5" s="8" t="n">
        <x:v>1</x:v>
      </x:c>
      <x:c r="C5" s="10" t="n">
        <x:v>34000</x:v>
      </x:c>
      <x:c r="D5" s="10" t="n">
        <x:f>B5*C5</x:f>
        <x:v>34000</x:v>
      </x:c>
      <x:c r="E5" s="8" t="str">
        <x:v>Planejamento; nao cotado</x:v>
      </x:c>
    </x:row>
    <x:row r="6" ht="35" customHeight="1">
      <x:c r="A6" s="8" t="str">
        <x:v>NAS producao + discos</x:v>
      </x:c>
      <x:c r="B6" s="8" t="n">
        <x:v>1</x:v>
      </x:c>
      <x:c r="C6" s="10" t="n">
        <x:v>22000</x:v>
      </x:c>
      <x:c r="D6" s="10" t="n">
        <x:f>B6*C6</x:f>
        <x:v>22000</x:v>
      </x:c>
      <x:c r="E6" s="8" t="str">
        <x:v>Planejamento; nao cotado</x:v>
      </x:c>
    </x:row>
    <x:row r="7" ht="35" customHeight="1">
      <x:c r="A7" s="8" t="str">
        <x:v>NAS backup + discos</x:v>
      </x:c>
      <x:c r="B7" s="8" t="n">
        <x:v>1</x:v>
      </x:c>
      <x:c r="C7" s="10" t="n">
        <x:v>18000</x:v>
      </x:c>
      <x:c r="D7" s="10" t="n">
        <x:f>B7*C7</x:f>
        <x:v>18000</x:v>
      </x:c>
      <x:c r="E7" s="8" t="str">
        <x:v>Planejamento; nao cotado</x:v>
      </x:c>
    </x:row>
    <x:row r="8" ht="35" customHeight="1">
      <x:c r="A8" s="8" t="str">
        <x:v>Firewall de seguranca</x:v>
      </x:c>
      <x:c r="B8" s="8" t="n">
        <x:v>1</x:v>
      </x:c>
      <x:c r="C8" s="10" t="n">
        <x:v>14000</x:v>
      </x:c>
      <x:c r="D8" s="10" t="n">
        <x:f>B8*C8</x:f>
        <x:v>14000</x:v>
      </x:c>
      <x:c r="E8" s="8" t="str">
        <x:v>Planejamento; nao cotado</x:v>
      </x:c>
    </x:row>
    <x:row r="9" ht="35" customHeight="1">
      <x:c r="A9" s="8" t="str">
        <x:v>Switches acesso 24 portas</x:v>
      </x:c>
      <x:c r="B9" s="8" t="n">
        <x:v>4</x:v>
      </x:c>
      <x:c r="C9" s="10" t="n">
        <x:v>4500</x:v>
      </x:c>
      <x:c r="D9" s="10" t="n">
        <x:f>B9*C9</x:f>
        <x:v>18000</x:v>
      </x:c>
      <x:c r="E9" s="8" t="str">
        <x:v>Planejamento; nao cotado</x:v>
      </x:c>
    </x:row>
    <x:row r="10" ht="35" customHeight="1">
      <x:c r="A10" s="8" t="str">
        <x:v>Switch central uplinks 10 Gb</x:v>
      </x:c>
      <x:c r="B10" s="8" t="n">
        <x:v>1</x:v>
      </x:c>
      <x:c r="C10" s="10" t="n">
        <x:v>15000</x:v>
      </x:c>
      <x:c r="D10" s="10" t="n">
        <x:f>B10*C10</x:f>
        <x:v>15000</x:v>
      </x:c>
      <x:c r="E10" s="8" t="str">
        <x:v>Planejamento; nao cotado</x:v>
      </x:c>
    </x:row>
    <x:row r="11" ht="35" customHeight="1">
      <x:c r="A11" s="8" t="str">
        <x:v>Pontos acesso Wi-Fi</x:v>
      </x:c>
      <x:c r="B11" s="8" t="n">
        <x:v>8</x:v>
      </x:c>
      <x:c r="C11" s="10" t="n">
        <x:v>1500</x:v>
      </x:c>
      <x:c r="D11" s="10" t="n">
        <x:f>B11*C11</x:f>
        <x:v>12000</x:v>
      </x:c>
      <x:c r="E11" s="8" t="str">
        <x:v>Planejamento; nao cotado</x:v>
      </x:c>
    </x:row>
    <x:row r="12" ht="35" customHeight="1">
      <x:c r="A12" s="8" t="str">
        <x:v>Rack/patch panels/cabos</x:v>
      </x:c>
      <x:c r="B12" s="8" t="n">
        <x:v>1</x:v>
      </x:c>
      <x:c r="C12" s="10" t="n">
        <x:v>27000</x:v>
      </x:c>
      <x:c r="D12" s="10" t="n">
        <x:f>B12*C12</x:f>
        <x:v>27000</x:v>
      </x:c>
      <x:c r="E12" s="8" t="str">
        <x:v>Planejamento; nao cotado</x:v>
      </x:c>
    </x:row>
    <x:row r="13" ht="35" customHeight="1">
      <x:c r="A13" s="8" t="str">
        <x:v>UPS e protecao rack</x:v>
      </x:c>
      <x:c r="B13" s="8" t="n">
        <x:v>1</x:v>
      </x:c>
      <x:c r="C13" s="10" t="n">
        <x:v>17000</x:v>
      </x:c>
      <x:c r="D13" s="10" t="n">
        <x:f>B13*C13</x:f>
        <x:v>17000</x:v>
      </x:c>
      <x:c r="E13" s="8" t="str">
        <x:v>Planejamento; nao cotado</x:v>
      </x:c>
    </x:row>
    <x:row r="14" ht="35" customHeight="1">
      <x:c r="A14" s="8" t="str">
        <x:v>Impressoras multifuncionais</x:v>
      </x:c>
      <x:c r="B14" s="8" t="n">
        <x:v>3</x:v>
      </x:c>
      <x:c r="C14" s="10" t="n">
        <x:v>2500</x:v>
      </x:c>
      <x:c r="D14" s="10" t="n">
        <x:f>B14*C14</x:f>
        <x:v>7500</x:v>
      </x:c>
      <x:c r="E14" s="8" t="str">
        <x:v>Planejamento; nao cotado</x:v>
      </x:c>
    </x:row>
    <x:row r="15">
      <x:c r="C15" s="11"/>
      <x:c r="D15" s="11"/>
    </x:row>
    <x:row r="16">
      <x:c r="A16" t="str">
        <x:v>SUBTOTAL CAPEX</x:v>
      </x:c>
      <x:c r="C16" s="11"/>
      <x:c r="D16" s="11" t="n">
        <x:f>SUM(D2:D14)</x:f>
        <x:v>626500</x:v>
      </x:c>
    </x:row>
    <x:row r="17">
      <x:c r="A17" t="str">
        <x:v>Reserva 10%</x:v>
      </x:c>
      <x:c r="C17" s="11"/>
      <x:c r="D17" s="11" t="n">
        <x:f>D16*0.1</x:f>
        <x:v>62650</x:v>
      </x:c>
    </x:row>
    <x:row r="18">
      <x:c r="A18" t="str">
        <x:v>TOTAL PLANEJADO</x:v>
      </x:c>
      <x:c r="C18" s="11"/>
      <x:c r="D18" s="11" t="n">
        <x:f>D16+D17</x:f>
        <x:v>689150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9" customHeight="1">
      <x:c r="A1" s="4" t="str">
        <x:v>Categoria</x:v>
      </x:c>
      <x:c r="B1" s="4" t="str">
        <x:v>Quantidade</x:v>
      </x:c>
      <x:c r="C1" s="4" t="str">
        <x:v>Unidade</x:v>
      </x:c>
      <x:c r="D1" s="4" t="str">
        <x:v>Custo mensal BRL</x:v>
      </x:c>
      <x:c r="E1" s="4" t="str">
        <x:v>Status</x:v>
      </x:c>
    </x:row>
    <x:row r="2" ht="35" customHeight="1">
      <x:c r="A2" s="8" t="str">
        <x:v>Links ISP redundantes</x:v>
      </x:c>
      <x:c r="B2" s="8" t="n">
        <x:v>2</x:v>
      </x:c>
      <x:c r="C2" s="8" t="str">
        <x:v>contratos</x:v>
      </x:c>
      <x:c r="D2" s="8"/>
      <x:c r="E2" s="8" t="str">
        <x:v>cotacao requerida</x:v>
      </x:c>
    </x:row>
    <x:row r="3" ht="35" customHeight="1">
      <x:c r="A3" s="8" t="str">
        <x:v>Software criativo</x:v>
      </x:c>
      <x:c r="B3" s="8" t="n">
        <x:v>16</x:v>
      </x:c>
      <x:c r="C3" s="8" t="str">
        <x:v>licencas</x:v>
      </x:c>
      <x:c r="D3" s="8"/>
      <x:c r="E3" s="8" t="str">
        <x:v>cotacao requerida</x:v>
      </x:c>
    </x:row>
    <x:row r="4" ht="35" customHeight="1">
      <x:c r="A4" s="8" t="str">
        <x:v>Antivirus ou EDR</x:v>
      </x:c>
      <x:c r="B4" s="8" t="n">
        <x:v>50</x:v>
      </x:c>
      <x:c r="C4" s="8" t="str">
        <x:v>endpoints</x:v>
      </x:c>
      <x:c r="D4" s="8"/>
      <x:c r="E4" s="8" t="str">
        <x:v>cotacao requerida</x:v>
      </x:c>
    </x:row>
    <x:row r="5" ht="35" customHeight="1">
      <x:c r="A5" s="8" t="str">
        <x:v>Backup offsite</x:v>
      </x:c>
      <x:c r="B5" s="8" t="n">
        <x:v>1</x:v>
      </x:c>
      <x:c r="C5" s="8" t="str">
        <x:v>contrato</x:v>
      </x:c>
      <x:c r="D5" s="8"/>
      <x:c r="E5" s="8" t="str">
        <x:v>cotacao requerida</x:v>
      </x:c>
    </x:row>
    <x:row r="6" ht="35" customHeight="1">
      <x:c r="A6" s="8" t="str">
        <x:v>Licenca Windows Pro</x:v>
      </x:c>
      <x:c r="B6" s="8" t="n">
        <x:v>50</x:v>
      </x:c>
      <x:c r="C6" s="8" t="str">
        <x:v>postos</x:v>
      </x:c>
      <x:c r="D6" s="8"/>
      <x:c r="E6" s="8" t="str">
        <x:v>verificar inclusao OEM</x:v>
      </x:c>
    </x:row>
    <x:row r="7" ht="35" customHeight="1">
      <x:c r="A7" s="8" t="str">
        <x:v>Suporte hipervisor</x:v>
      </x:c>
      <x:c r="B7" s="8" t="n">
        <x:v>1</x:v>
      </x:c>
      <x:c r="C7" s="8" t="str">
        <x:v>contrato</x:v>
      </x:c>
      <x:c r="D7" s="8"/>
      <x:c r="E7" s="8" t="str">
        <x:v>cotacao requerida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29" customHeight="1">
      <x:c r="A1" s="4" t="str">
        <x:v>Codigo</x:v>
      </x:c>
      <x:c r="B1" s="4" t="str">
        <x:v>Categoria</x:v>
      </x:c>
      <x:c r="C1" s="4" t="str">
        <x:v>Procedimento</x:v>
      </x:c>
      <x:c r="D1" s="4" t="str">
        <x:v>Resultado esperado</x:v>
      </x:c>
      <x:c r="E1" s="4" t="str">
        <x:v>Evidencia</x:v>
      </x:c>
      <x:c r="F1" s="4" t="str">
        <x:v>Situacao</x:v>
      </x:c>
    </x:row>
    <x:row r="2" ht="35" customHeight="1">
      <x:c r="A2" s="8" t="str">
        <x:v>R01</x:v>
      </x:c>
      <x:c r="B2" s="8" t="str">
        <x:v>Rede</x:v>
      </x:c>
      <x:c r="C2" s="8" t="str">
        <x:v>Estacao ADM consulta DHCP</x:v>
      </x:c>
      <x:c r="D2" s="8" t="str">
        <x:v>Recebe IP VLAN 10</x:v>
      </x:c>
      <x:c r="E2" s="8" t="str">
        <x:v>Captura Packet Tracer</x:v>
      </x:c>
      <x:c r="F2" s="8" t="str">
        <x:v>NAO EXECUTADO</x:v>
      </x:c>
    </x:row>
    <x:row r="3" ht="35" customHeight="1">
      <x:c r="A3" s="8" t="str">
        <x:v>R02</x:v>
      </x:c>
      <x:c r="B3" s="8" t="str">
        <x:v>Rede</x:v>
      </x:c>
      <x:c r="C3" s="8" t="str">
        <x:v>Visitante acessa NAS</x:v>
      </x:c>
      <x:c r="D3" s="8" t="str">
        <x:v>Bloqueado</x:v>
      </x:c>
      <x:c r="E3" s="8" t="str">
        <x:v>Captura Packet Tracer</x:v>
      </x:c>
      <x:c r="F3" s="8" t="str">
        <x:v>NAO EXECUTADO</x:v>
      </x:c>
    </x:row>
    <x:row r="4" ht="35" customHeight="1">
      <x:c r="A4" s="8" t="str">
        <x:v>R03</x:v>
      </x:c>
      <x:c r="B4" s="8" t="str">
        <x:v>Rede</x:v>
      </x:c>
      <x:c r="C4" s="8" t="str">
        <x:v>Criativo transfere arquivo no NAS</x:v>
      </x:c>
      <x:c r="D4" s="8" t="str">
        <x:v>Permissao apropriada</x:v>
      </x:c>
      <x:c r="E4" s="8" t="str">
        <x:v>Captura Packet Tracer</x:v>
      </x:c>
      <x:c r="F4" s="8" t="str">
        <x:v>NAO EXECUTADO</x:v>
      </x:c>
    </x:row>
    <x:row r="5" ht="35" customHeight="1">
      <x:c r="A5" s="8" t="str">
        <x:v>B01</x:v>
      </x:c>
      <x:c r="B5" s="8" t="str">
        <x:v>Backup</x:v>
      </x:c>
      <x:c r="C5" s="8" t="str">
        <x:v>Restaurar arquivo e VM</x:v>
      </x:c>
      <x:c r="D5" s="8" t="str">
        <x:v>RPO/RTO observados</x:v>
      </x:c>
      <x:c r="E5" s="8" t="str">
        <x:v>Log e relatorio</x:v>
      </x:c>
      <x:c r="F5" s="8" t="str">
        <x:v>NAO EXECUTADO</x:v>
      </x:c>
    </x:row>
    <x:row r="6" ht="35" customHeight="1">
      <x:c r="A6" s="8" t="str">
        <x:v>I01</x:v>
      </x:c>
      <x:c r="B6" s="8" t="str">
        <x:v>IoT</x:v>
      </x:c>
      <x:c r="C6" s="8" t="str">
        <x:v>TMP36 = 24C</x:v>
      </x:c>
      <x:c r="D6" s="8" t="str">
        <x:v>LED verde apenas</x:v>
      </x:c>
      <x:c r="E6" s="8" t="str">
        <x:v>Circuito + Serial</x:v>
      </x:c>
      <x:c r="F6" s="8" t="str">
        <x:v>NAO EXECUTADO</x:v>
      </x:c>
    </x:row>
    <x:row r="7" ht="35" customHeight="1">
      <x:c r="A7" s="8" t="str">
        <x:v>I02</x:v>
      </x:c>
      <x:c r="B7" s="8" t="str">
        <x:v>IoT</x:v>
      </x:c>
      <x:c r="C7" s="8" t="str">
        <x:v>TMP36 = 29C</x:v>
      </x:c>
      <x:c r="D7" s="8" t="str">
        <x:v>LED amarelo apenas</x:v>
      </x:c>
      <x:c r="E7" s="8" t="str">
        <x:v>Circuito + Serial</x:v>
      </x:c>
      <x:c r="F7" s="8" t="str">
        <x:v>NAO EXECUTADO</x:v>
      </x:c>
    </x:row>
    <x:row r="8" ht="35" customHeight="1">
      <x:c r="A8" s="8" t="str">
        <x:v>I03</x:v>
      </x:c>
      <x:c r="B8" s="8" t="str">
        <x:v>IoT</x:v>
      </x:c>
      <x:c r="C8" s="8" t="str">
        <x:v>TMP36 = 35C</x:v>
      </x:c>
      <x:c r="D8" s="8" t="str">
        <x:v>LED vermelho apenas</x:v>
      </x:c>
      <x:c r="E8" s="8" t="str">
        <x:v>Circuito + Serial</x:v>
      </x:c>
      <x:c r="F8" s="8" t="str">
        <x:v>NAO EXECUTADO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29" customHeight="1">
      <x:c r="A1" s="4" t="str">
        <x:v>Risco</x:v>
      </x:c>
      <x:c r="B1" s="4" t="str">
        <x:v>Probabilidade</x:v>
      </x:c>
      <x:c r="C1" s="4" t="str">
        <x:v>Impacto</x:v>
      </x:c>
      <x:c r="D1" s="4" t="str">
        <x:v>Mitigacao</x:v>
      </x:c>
      <x:c r="E1" s="4" t="str">
        <x:v>Responsavel</x:v>
      </x:c>
    </x:row>
    <x:row r="2" ht="35" customHeight="1">
      <x:c r="A2" s="8" t="str">
        <x:v>Falha host</x:v>
      </x:c>
      <x:c r="B2" s="8" t="str">
        <x:v>Media</x:v>
      </x:c>
      <x:c r="C2" s="8" t="str">
        <x:v>Alto</x:v>
      </x:c>
      <x:c r="D2" s="8" t="str">
        <x:v>Reinstalacao automatizada + backup validado</x:v>
      </x:c>
      <x:c r="E2" s="8" t="str">
        <x:v>Guilherme</x:v>
      </x:c>
    </x:row>
    <x:row r="3" ht="35" customHeight="1">
      <x:c r="A3" s="8" t="str">
        <x:v>Falha ISP</x:v>
      </x:c>
      <x:c r="B3" s="8" t="str">
        <x:v>Media</x:v>
      </x:c>
      <x:c r="C3" s="8" t="str">
        <x:v>Alto</x:v>
      </x:c>
      <x:c r="D3" s="8" t="str">
        <x:v>Segundo provedor e failover</x:v>
      </x:c>
      <x:c r="E3" s="8" t="str">
        <x:v>Willian</x:v>
      </x:c>
    </x:row>
    <x:row r="4" ht="35" customHeight="1">
      <x:c r="A4" s="8" t="str">
        <x:v>Acesso indevido ao YouTube</x:v>
      </x:c>
      <x:c r="B4" s="8" t="str">
        <x:v>Media</x:v>
      </x:c>
      <x:c r="C4" s="8" t="str">
        <x:v>Alto</x:v>
      </x:c>
      <x:c r="D4" s="8" t="str">
        <x:v>MFA e delegacao de acesso</x:v>
      </x:c>
      <x:c r="E4" s="8" t="str">
        <x:v>Guilherme</x:v>
      </x:c>
    </x:row>
    <x:row r="5" ht="35" customHeight="1">
      <x:c r="A5" s="8" t="str">
        <x:v>Capacidade NAS insuficiente</x:v>
      </x:c>
      <x:c r="B5" s="8" t="str">
        <x:v>Alta</x:v>
      </x:c>
      <x:c r="C5" s="8" t="str">
        <x:v>Alto</x:v>
      </x:c>
      <x:c r="D5" s="8" t="str">
        <x:v>Quotas, storage escalavel</x:v>
      </x:c>
      <x:c r="E5" s="8" t="str">
        <x:v>Kaike</x:v>
      </x:c>
    </x:row>
    <x:row r="6" ht="35" customHeight="1">
      <x:c r="A6" s="8" t="str">
        <x:v>Hardware incompativel</x:v>
      </x:c>
      <x:c r="B6" s="8" t="str">
        <x:v>Media</x:v>
      </x:c>
      <x:c r="C6" s="8" t="str">
        <x:v>Medio</x:v>
      </x:c>
      <x:c r="D6" s="8" t="str">
        <x:v>Homologacao SKU e piloto</x:v>
      </x:c>
      <x:c r="E6" s="8" t="str">
        <x:v>Kaike</x:v>
      </x:c>
    </x:row>
  </x:sheetData>
  <x:pageMargins left="0.7" right="0.7" top="0.75" bottom="0.75" header="0.3" footer="0.3"/>
</x:worksheet>
</file>